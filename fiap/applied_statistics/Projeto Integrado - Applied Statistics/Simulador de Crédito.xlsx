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fiapcom-my.sharepoint.com/personal/rm359250_fiap_com_br/Documents/Trabalho Integrado/Applied Statistics/"/>
    </mc:Choice>
  </mc:AlternateContent>
  <xr:revisionPtr revIDLastSave="185" documentId="11_AD4D361C20488DEA4E38A0923C5B78485ADEDD82" xr6:coauthVersionLast="47" xr6:coauthVersionMax="47" xr10:uidLastSave="{7C174C58-BCE9-4DBA-8283-25E5F8204929}"/>
  <bookViews>
    <workbookView xWindow="-108" yWindow="-108" windowWidth="23256" windowHeight="13896" xr2:uid="{00000000-000D-0000-FFFF-FFFF00000000}"/>
  </bookViews>
  <sheets>
    <sheet name="Simula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D13" i="1"/>
  <c r="F13" i="1" s="1"/>
  <c r="D14" i="1"/>
  <c r="F14" i="1" s="1"/>
  <c r="D12" i="1"/>
  <c r="F12" i="1" s="1"/>
  <c r="D10" i="1"/>
  <c r="F10" i="1" s="1"/>
  <c r="D7" i="1"/>
  <c r="F7" i="1" s="1"/>
  <c r="D8" i="1"/>
  <c r="F8" i="1" s="1"/>
  <c r="D6" i="1"/>
  <c r="F6" i="1" s="1"/>
  <c r="D11" i="1" a="1"/>
  <c r="D11" i="1" s="1"/>
  <c r="F11" i="1" s="1"/>
  <c r="D9" i="1" a="1"/>
  <c r="D9" i="1" s="1"/>
  <c r="F9" i="1" s="1"/>
  <c r="D4" i="1" a="1"/>
  <c r="D4" i="1" s="1"/>
  <c r="F4" i="1" s="1"/>
  <c r="D5" i="1" a="1"/>
  <c r="D5" i="1" s="1"/>
  <c r="F5" i="1" s="1"/>
  <c r="F1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<sst xmlns="http://schemas.openxmlformats.org/spreadsheetml/2006/main" count="24" uniqueCount="23">
  <si>
    <t>const</t>
  </si>
  <si>
    <t>escola</t>
  </si>
  <si>
    <t>idade</t>
  </si>
  <si>
    <t>Qte_dependentes</t>
  </si>
  <si>
    <t>trabalha</t>
  </si>
  <si>
    <t>vl_salario_mil</t>
  </si>
  <si>
    <t>casa_propria</t>
  </si>
  <si>
    <t>vl_imovel_em_mil</t>
  </si>
  <si>
    <t>Qte_cartoes</t>
  </si>
  <si>
    <t>Qte_carros</t>
  </si>
  <si>
    <t>Sexo Masculino</t>
  </si>
  <si>
    <t>Sim</t>
  </si>
  <si>
    <t>graduacao</t>
  </si>
  <si>
    <t>tempo_ultimoservico (Meses)</t>
  </si>
  <si>
    <t>Entrada de dados</t>
  </si>
  <si>
    <t>Não</t>
  </si>
  <si>
    <t>Score</t>
  </si>
  <si>
    <t>Pesos Entrada</t>
  </si>
  <si>
    <t>Preeencher</t>
  </si>
  <si>
    <t>Memoria de Cálculo</t>
  </si>
  <si>
    <t>Score:</t>
  </si>
  <si>
    <t>Resultado</t>
  </si>
  <si>
    <t>Coeficiente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</si>
</sst>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1"/>
  <sheetViews>
    <sheetView showGridLines="0" tabSelected="1" workbookViewId="0">
      <selection activeCell="A27" sqref="A27:XFD27"/>
    </sheetView>
  </sheetViews>
  <sheetFormatPr defaultRowHeight="14.4" x14ac:dyDescent="0.3"/>
  <cols>
    <col min="2" max="2" width="25.5546875" bestFit="1" customWidth="1"/>
    <col min="3" max="3" width="18.5546875" customWidth="1"/>
    <col min="4" max="5" width="12.77734375" bestFit="1" customWidth="1"/>
    <col min="6" max="6" width="8.33203125" bestFit="1" customWidth="1"/>
  </cols>
  <sheetData>
    <row r="2" spans="2:10" ht="18.600000000000001" customHeight="1" x14ac:dyDescent="0.3">
      <c r="C2" s="7" t="s">
        <v>14</v>
      </c>
      <c r="D2" s="7" t="s">
        <v>17</v>
      </c>
      <c r="E2" s="7" t="s">
        <v>22</v>
      </c>
      <c r="F2" s="7" t="s">
        <v>16</v>
      </c>
    </row>
    <row r="3" spans="2:10" x14ac:dyDescent="0.3">
      <c r="B3" s="3" t="s">
        <v>0</v>
      </c>
      <c r="C3" s="4">
        <v>1</v>
      </c>
      <c r="D3" s="4">
        <v>1</v>
      </c>
      <c r="E3" s="11">
        <v>112.29130000000001</v>
      </c>
      <c r="F3" s="5">
        <f>D3*E3</f>
        <v>112.29130000000001</v>
      </c>
      <c r="G3" s="1"/>
      <c r="I3" s="1"/>
      <c r="J3" s="1"/>
    </row>
    <row r="4" spans="2:10" x14ac:dyDescent="0.3">
      <c r="B4" s="3" t="s">
        <v>10</v>
      </c>
      <c r="C4" s="9" t="s">
        <v>15</v>
      </c>
      <c r="D4" s="4" cm="1">
        <f t="array" ref="D4">IFERROR(IFERROR(_xlfn.IFS(C4="Sim",1,C4="Não",0),0),0)</f>
        <v>0</v>
      </c>
      <c r="E4" s="11">
        <v>-20.098700000000001</v>
      </c>
      <c r="F4" s="5">
        <f t="shared" ref="F4:F14" si="0">D4*E4</f>
        <v>0</v>
      </c>
      <c r="G4" s="1"/>
      <c r="I4" s="1"/>
      <c r="J4" s="1"/>
    </row>
    <row r="5" spans="2:10" x14ac:dyDescent="0.3">
      <c r="B5" s="3" t="s">
        <v>1</v>
      </c>
      <c r="C5" s="9" t="s">
        <v>12</v>
      </c>
      <c r="D5" s="4" cm="1">
        <f t="array" ref="D5">IFERROR(_xlfn.IFS(C5="ensino medio",0,C5="ensino fundam",1,C5="graduacao",2,C5="mestrado",3,C5="doutorado",4),0)</f>
        <v>2</v>
      </c>
      <c r="E5" s="11">
        <v>1.6939</v>
      </c>
      <c r="F5" s="5">
        <f t="shared" si="0"/>
        <v>3.3877999999999999</v>
      </c>
      <c r="G5" s="1"/>
      <c r="J5" s="1"/>
    </row>
    <row r="6" spans="2:10" x14ac:dyDescent="0.3">
      <c r="B6" s="3" t="s">
        <v>2</v>
      </c>
      <c r="C6" s="9">
        <v>45</v>
      </c>
      <c r="D6" s="4">
        <f>C6</f>
        <v>45</v>
      </c>
      <c r="E6" s="11">
        <v>-1.4644999999999999</v>
      </c>
      <c r="F6" s="5">
        <f t="shared" si="0"/>
        <v>-65.902499999999989</v>
      </c>
      <c r="G6" s="1"/>
      <c r="I6" s="1"/>
      <c r="J6" s="1"/>
    </row>
    <row r="7" spans="2:10" x14ac:dyDescent="0.3">
      <c r="B7" s="3" t="s">
        <v>3</v>
      </c>
      <c r="C7" s="9">
        <v>3</v>
      </c>
      <c r="D7" s="4">
        <f t="shared" ref="D7:D14" si="1">C7</f>
        <v>3</v>
      </c>
      <c r="E7" s="11">
        <v>4.9744999999999999</v>
      </c>
      <c r="F7" s="5">
        <f t="shared" si="0"/>
        <v>14.923500000000001</v>
      </c>
      <c r="G7" s="1"/>
      <c r="I7" s="1"/>
      <c r="J7" s="1"/>
    </row>
    <row r="8" spans="2:10" x14ac:dyDescent="0.3">
      <c r="B8" s="3" t="s">
        <v>13</v>
      </c>
      <c r="C8" s="9">
        <v>40</v>
      </c>
      <c r="D8" s="4">
        <f t="shared" si="1"/>
        <v>40</v>
      </c>
      <c r="E8" s="11">
        <v>5.9913999999999996</v>
      </c>
      <c r="F8" s="5">
        <f t="shared" si="0"/>
        <v>239.65599999999998</v>
      </c>
      <c r="G8" s="1"/>
      <c r="I8" s="1"/>
      <c r="J8" s="1"/>
    </row>
    <row r="9" spans="2:10" x14ac:dyDescent="0.3">
      <c r="B9" s="3" t="s">
        <v>4</v>
      </c>
      <c r="C9" s="9" t="s">
        <v>11</v>
      </c>
      <c r="D9" s="4" cm="1">
        <f t="array" ref="D9">IFERROR(IFERROR(_xlfn.IFS(C9="Sim",1,C9="Não",0),0),0)</f>
        <v>1</v>
      </c>
      <c r="E9" s="11">
        <v>37.221200000000003</v>
      </c>
      <c r="F9" s="5">
        <f t="shared" si="0"/>
        <v>37.221200000000003</v>
      </c>
      <c r="G9" s="1"/>
      <c r="I9" s="1"/>
      <c r="J9" s="1"/>
    </row>
    <row r="10" spans="2:10" x14ac:dyDescent="0.3">
      <c r="B10" s="3" t="s">
        <v>5</v>
      </c>
      <c r="C10" s="9">
        <v>40.08</v>
      </c>
      <c r="D10" s="4">
        <f t="shared" si="1"/>
        <v>40.08</v>
      </c>
      <c r="E10" s="11">
        <v>0.73319999999999996</v>
      </c>
      <c r="F10" s="5">
        <f t="shared" si="0"/>
        <v>29.386655999999999</v>
      </c>
      <c r="G10" s="1"/>
    </row>
    <row r="11" spans="2:10" x14ac:dyDescent="0.3">
      <c r="B11" s="3" t="s">
        <v>6</v>
      </c>
      <c r="C11" s="9" t="s">
        <v>15</v>
      </c>
      <c r="D11" s="4" cm="1">
        <f t="array" ref="D11">IFERROR(IFERROR(_xlfn.IFS(C11="Sim",1,C11="Não",0),0),0)</f>
        <v>0</v>
      </c>
      <c r="E11" s="11">
        <v>-89.815100000000001</v>
      </c>
      <c r="F11" s="5">
        <f t="shared" si="0"/>
        <v>0</v>
      </c>
      <c r="G11" s="1"/>
      <c r="I11" s="1"/>
      <c r="J11" s="1"/>
    </row>
    <row r="12" spans="2:10" x14ac:dyDescent="0.3">
      <c r="B12" s="3" t="s">
        <v>7</v>
      </c>
      <c r="C12" s="9">
        <v>0</v>
      </c>
      <c r="D12" s="4">
        <f t="shared" si="1"/>
        <v>0</v>
      </c>
      <c r="E12" s="11">
        <v>0.2336</v>
      </c>
      <c r="F12" s="5">
        <f t="shared" si="0"/>
        <v>0</v>
      </c>
      <c r="G12" s="1"/>
    </row>
    <row r="13" spans="2:10" x14ac:dyDescent="0.3">
      <c r="B13" s="3" t="s">
        <v>8</v>
      </c>
      <c r="C13" s="9">
        <v>1</v>
      </c>
      <c r="D13" s="4">
        <f t="shared" si="1"/>
        <v>1</v>
      </c>
      <c r="E13" s="11">
        <v>73.115099999999998</v>
      </c>
      <c r="F13" s="5">
        <f t="shared" si="0"/>
        <v>73.115099999999998</v>
      </c>
      <c r="G13" s="1"/>
      <c r="I13" s="1"/>
      <c r="J13" s="1"/>
    </row>
    <row r="14" spans="2:10" x14ac:dyDescent="0.3">
      <c r="B14" s="3" t="s">
        <v>9</v>
      </c>
      <c r="C14" s="9">
        <v>1</v>
      </c>
      <c r="D14" s="4">
        <f t="shared" si="1"/>
        <v>1</v>
      </c>
      <c r="E14" s="11">
        <v>61.003300000000003</v>
      </c>
      <c r="F14" s="5">
        <f t="shared" si="0"/>
        <v>61.003300000000003</v>
      </c>
      <c r="G14" s="1"/>
      <c r="I14" s="1"/>
      <c r="J14" s="1"/>
    </row>
    <row r="15" spans="2:10" ht="18" x14ac:dyDescent="0.35">
      <c r="E15" s="6" t="s">
        <v>20</v>
      </c>
      <c r="F15" s="10">
        <f>SUM(F3:F14)</f>
        <v>505.082356</v>
      </c>
    </row>
    <row r="17" spans="2:2" x14ac:dyDescent="0.3">
      <c r="B17" s="8" t="s">
        <v>21</v>
      </c>
    </row>
    <row r="18" spans="2:2" x14ac:dyDescent="0.3">
      <c r="B18" s="2"/>
    </row>
    <row r="19" spans="2:2" x14ac:dyDescent="0.3">
      <c r="B19" s="9" t="s">
        <v>18</v>
      </c>
    </row>
    <row r="20" spans="2:2" x14ac:dyDescent="0.3">
      <c r="B20" s="2"/>
    </row>
    <row r="21" spans="2:2" x14ac:dyDescent="0.3">
      <c r="B21" s="4" t="s">
        <v>19</v>
      </c>
    </row>
  </sheetData>
  <dataValidations disablePrompts="1" count="2">
    <dataValidation type="list" allowBlank="1" showInputMessage="1" showErrorMessage="1" sqref="C9 C11 C4" xr:uid="{F9B472DE-A302-46D1-BEAD-CF5946B4FFC1}">
      <formula1>"Sim, Não"</formula1>
    </dataValidation>
    <dataValidation type="list" allowBlank="1" showInputMessage="1" showErrorMessage="1" sqref="C5" xr:uid="{0781FEA1-AD85-4C0D-9D07-1A2C7D56BCF2}">
      <formula1>"ensino medio,ensino fundam,graduacao,mestrado,doutorado"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Gazin</dc:creator>
  <cp:lastModifiedBy>Ivan Carlos Gazin</cp:lastModifiedBy>
  <dcterms:created xsi:type="dcterms:W3CDTF">2015-06-05T18:19:34Z</dcterms:created>
  <dcterms:modified xsi:type="dcterms:W3CDTF">2025-03-23T21:29:55Z</dcterms:modified>
</cp:coreProperties>
</file>